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e\Desktop\Pulpit\_Kola_naukowe\NaMi\spin-coater\"/>
    </mc:Choice>
  </mc:AlternateContent>
  <xr:revisionPtr revIDLastSave="0" documentId="13_ncr:1_{EE16004C-091D-40C7-B29E-800E700ED1BC}" xr6:coauthVersionLast="47" xr6:coauthVersionMax="47" xr10:uidLastSave="{00000000-0000-0000-0000-000000000000}"/>
  <bookViews>
    <workbookView xWindow="-110" yWindow="-110" windowWidth="19420" windowHeight="11500" xr2:uid="{CA1555B5-3E76-49FD-9FA4-BFDCD86F3FC3}"/>
  </bookViews>
  <sheets>
    <sheet name="v0.1 11.12.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O15" i="1"/>
  <c r="N15" i="1"/>
  <c r="I15" i="1"/>
  <c r="H15" i="1"/>
  <c r="Q14" i="1"/>
  <c r="P14" i="1"/>
  <c r="O14" i="1"/>
  <c r="N14" i="1"/>
  <c r="P7" i="1"/>
  <c r="P6" i="1"/>
  <c r="O12" i="1"/>
  <c r="O11" i="1"/>
  <c r="O10" i="1"/>
  <c r="O9" i="1"/>
  <c r="O8" i="1"/>
  <c r="O7" i="1"/>
  <c r="O6" i="1"/>
  <c r="I14" i="1"/>
  <c r="H14" i="1"/>
  <c r="K14" i="1"/>
  <c r="I11" i="1"/>
  <c r="I10" i="1"/>
  <c r="I9" i="1"/>
  <c r="J7" i="1"/>
  <c r="J6" i="1"/>
  <c r="I8" i="1"/>
  <c r="I7" i="1"/>
  <c r="I6" i="1"/>
  <c r="E14" i="1"/>
  <c r="B14" i="1"/>
  <c r="C7" i="1"/>
  <c r="C8" i="1"/>
  <c r="C6" i="1"/>
  <c r="C14" i="1" s="1"/>
  <c r="C15" i="1" s="1"/>
  <c r="D7" i="1"/>
  <c r="D6" i="1"/>
  <c r="D14" i="1" s="1"/>
  <c r="K15" i="1" l="1"/>
  <c r="J14" i="1"/>
  <c r="Q15" i="1"/>
  <c r="B15" i="1"/>
</calcChain>
</file>

<file path=xl/sharedStrings.xml><?xml version="1.0" encoding="utf-8"?>
<sst xmlns="http://schemas.openxmlformats.org/spreadsheetml/2006/main" count="33" uniqueCount="11">
  <si>
    <t>Scope</t>
  </si>
  <si>
    <t>freq</t>
  </si>
  <si>
    <t>RPM</t>
  </si>
  <si>
    <t>STM32</t>
  </si>
  <si>
    <t>avg</t>
  </si>
  <si>
    <t>%</t>
  </si>
  <si>
    <t>róznica</t>
  </si>
  <si>
    <t>czyli</t>
  </si>
  <si>
    <t>seria 1</t>
  </si>
  <si>
    <t>seria 2</t>
  </si>
  <si>
    <t>seria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</si>
</sst>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93C8-2831-4965-884A-3AA56EC35884}">
  <dimension ref="A4:R18"/>
  <sheetViews>
    <sheetView tabSelected="1" topLeftCell="A2" workbookViewId="0">
      <selection activeCell="L16" sqref="L16"/>
    </sheetView>
  </sheetViews>
  <sheetFormatPr defaultRowHeight="14.5" x14ac:dyDescent="0.35"/>
  <cols>
    <col min="5" max="5" width="9.08984375" bestFit="1" customWidth="1"/>
  </cols>
  <sheetData>
    <row r="4" spans="1:18" x14ac:dyDescent="0.35">
      <c r="B4" t="s">
        <v>0</v>
      </c>
      <c r="D4" t="s">
        <v>3</v>
      </c>
      <c r="H4" t="s">
        <v>0</v>
      </c>
      <c r="J4" t="s">
        <v>3</v>
      </c>
      <c r="N4" t="s">
        <v>0</v>
      </c>
      <c r="P4" t="s">
        <v>3</v>
      </c>
    </row>
    <row r="5" spans="1:18" x14ac:dyDescent="0.35">
      <c r="B5" t="s">
        <v>1</v>
      </c>
      <c r="C5" t="s">
        <v>2</v>
      </c>
      <c r="D5" t="s">
        <v>1</v>
      </c>
      <c r="E5" t="s">
        <v>2</v>
      </c>
      <c r="H5" t="s">
        <v>1</v>
      </c>
      <c r="I5" t="s">
        <v>2</v>
      </c>
      <c r="J5" t="s">
        <v>1</v>
      </c>
      <c r="K5" t="s">
        <v>2</v>
      </c>
      <c r="N5" t="s">
        <v>1</v>
      </c>
      <c r="O5" t="s">
        <v>2</v>
      </c>
      <c r="P5" t="s">
        <v>1</v>
      </c>
      <c r="Q5" t="s">
        <v>2</v>
      </c>
    </row>
    <row r="6" spans="1:18" x14ac:dyDescent="0.35">
      <c r="A6" t="s">
        <v>8</v>
      </c>
      <c r="B6">
        <v>5.7140000000000004</v>
      </c>
      <c r="C6">
        <f>B6*60</f>
        <v>342.84000000000003</v>
      </c>
      <c r="D6">
        <f>E6/60</f>
        <v>5</v>
      </c>
      <c r="E6">
        <v>300</v>
      </c>
      <c r="G6" t="s">
        <v>9</v>
      </c>
      <c r="H6">
        <v>7.4</v>
      </c>
      <c r="I6">
        <f>H6*60</f>
        <v>444</v>
      </c>
      <c r="J6">
        <f>K6/60</f>
        <v>7</v>
      </c>
      <c r="K6">
        <v>420</v>
      </c>
      <c r="M6" t="s">
        <v>10</v>
      </c>
      <c r="N6">
        <v>14.3</v>
      </c>
      <c r="O6">
        <f>N6*60</f>
        <v>858</v>
      </c>
      <c r="P6">
        <f>Q6/60</f>
        <v>15</v>
      </c>
      <c r="Q6">
        <v>900</v>
      </c>
    </row>
    <row r="7" spans="1:18" x14ac:dyDescent="0.35">
      <c r="B7">
        <v>5.4050000000000002</v>
      </c>
      <c r="C7">
        <f t="shared" ref="C7:C8" si="0">B7*60</f>
        <v>324.3</v>
      </c>
      <c r="D7">
        <f>E7/60</f>
        <v>6</v>
      </c>
      <c r="E7">
        <v>360</v>
      </c>
      <c r="H7">
        <v>7.7</v>
      </c>
      <c r="I7">
        <f t="shared" ref="I7:I11" si="1">H7*60</f>
        <v>462</v>
      </c>
      <c r="J7">
        <f>K7/60</f>
        <v>8</v>
      </c>
      <c r="K7">
        <v>480</v>
      </c>
      <c r="N7">
        <v>15.4</v>
      </c>
      <c r="O7">
        <f t="shared" ref="O7:O12" si="2">N7*60</f>
        <v>924</v>
      </c>
      <c r="P7">
        <f>Q7/60</f>
        <v>16</v>
      </c>
      <c r="Q7">
        <v>960</v>
      </c>
    </row>
    <row r="8" spans="1:18" x14ac:dyDescent="0.35">
      <c r="B8">
        <v>5.556</v>
      </c>
      <c r="C8">
        <f t="shared" si="0"/>
        <v>333.36</v>
      </c>
      <c r="H8">
        <v>7.7</v>
      </c>
      <c r="I8">
        <f t="shared" si="1"/>
        <v>462</v>
      </c>
      <c r="N8">
        <v>15.3</v>
      </c>
      <c r="O8">
        <f t="shared" si="2"/>
        <v>918</v>
      </c>
    </row>
    <row r="9" spans="1:18" x14ac:dyDescent="0.35">
      <c r="H9">
        <v>6.9</v>
      </c>
      <c r="I9">
        <f t="shared" si="1"/>
        <v>414</v>
      </c>
      <c r="N9">
        <v>16.600000000000001</v>
      </c>
      <c r="O9">
        <f t="shared" si="2"/>
        <v>996.00000000000011</v>
      </c>
    </row>
    <row r="10" spans="1:18" x14ac:dyDescent="0.35">
      <c r="H10">
        <v>7.4</v>
      </c>
      <c r="I10">
        <f t="shared" si="1"/>
        <v>444</v>
      </c>
      <c r="N10">
        <v>15.4</v>
      </c>
      <c r="O10">
        <f t="shared" si="2"/>
        <v>924</v>
      </c>
    </row>
    <row r="11" spans="1:18" x14ac:dyDescent="0.35">
      <c r="H11">
        <v>7.1</v>
      </c>
      <c r="I11">
        <f t="shared" si="1"/>
        <v>426</v>
      </c>
      <c r="N11">
        <v>16.7</v>
      </c>
      <c r="O11">
        <f t="shared" si="2"/>
        <v>1002</v>
      </c>
    </row>
    <row r="12" spans="1:18" x14ac:dyDescent="0.35">
      <c r="N12">
        <v>15.4</v>
      </c>
      <c r="O12">
        <f t="shared" si="2"/>
        <v>924</v>
      </c>
    </row>
    <row r="14" spans="1:18" x14ac:dyDescent="0.35">
      <c r="A14" t="s">
        <v>4</v>
      </c>
      <c r="B14">
        <f>AVERAGE(B6:B8)</f>
        <v>5.5583333333333336</v>
      </c>
      <c r="C14">
        <f>AVERAGE(C6:C8)</f>
        <v>333.50000000000006</v>
      </c>
      <c r="D14">
        <f>AVERAGE(D6:D8)</f>
        <v>5.5</v>
      </c>
      <c r="E14">
        <f>AVERAGE(E6:E8)</f>
        <v>330</v>
      </c>
      <c r="G14" t="s">
        <v>4</v>
      </c>
      <c r="H14">
        <f>AVERAGE(H6:H11)</f>
        <v>7.3666666666666671</v>
      </c>
      <c r="I14">
        <f>AVERAGE(I6:I11)</f>
        <v>442</v>
      </c>
      <c r="J14">
        <f>AVERAGE(J6:J8)</f>
        <v>7.5</v>
      </c>
      <c r="K14">
        <f>AVERAGE(K6:K8)</f>
        <v>450</v>
      </c>
      <c r="M14" t="s">
        <v>4</v>
      </c>
      <c r="N14">
        <f>AVERAGE(N6:N12)</f>
        <v>15.585714285714287</v>
      </c>
      <c r="O14">
        <f>AVERAGE(O6:O12)</f>
        <v>935.14285714285711</v>
      </c>
      <c r="P14">
        <f>AVERAGE(P6:P7)</f>
        <v>15.5</v>
      </c>
      <c r="Q14">
        <f>AVERAGE(Q6:Q7)</f>
        <v>930</v>
      </c>
    </row>
    <row r="15" spans="1:18" x14ac:dyDescent="0.35">
      <c r="A15" t="s">
        <v>6</v>
      </c>
      <c r="B15">
        <f>((B14-D14)^2)^0.5</f>
        <v>5.833333333333357E-2</v>
      </c>
      <c r="C15">
        <f>((C14-E14)^2)^0.5</f>
        <v>3.5000000000000568</v>
      </c>
      <c r="D15" t="s">
        <v>7</v>
      </c>
      <c r="E15" s="1">
        <f>C15/AVERAGE(C14,E14) * 100</f>
        <v>1.0550113036925566</v>
      </c>
      <c r="F15" t="s">
        <v>5</v>
      </c>
      <c r="G15" t="s">
        <v>6</v>
      </c>
      <c r="H15">
        <f>((H14-J14)^2)^0.5</f>
        <v>0.13333333333333286</v>
      </c>
      <c r="I15">
        <f>((I14-K14)^2)^0.5</f>
        <v>8</v>
      </c>
      <c r="J15" t="s">
        <v>7</v>
      </c>
      <c r="K15" s="1">
        <f>I15/AVERAGE(I9,K9) * 100</f>
        <v>1.932367149758454</v>
      </c>
      <c r="L15" t="s">
        <v>5</v>
      </c>
      <c r="M15" t="s">
        <v>6</v>
      </c>
      <c r="N15">
        <f>((N14-P14)^2)^0.5</f>
        <v>8.5714285714287186E-2</v>
      </c>
      <c r="O15">
        <f>((O14-Q14)^2)^0.5</f>
        <v>5.1428571428571104</v>
      </c>
      <c r="P15" t="s">
        <v>7</v>
      </c>
      <c r="Q15" s="1">
        <f>O15/AVERAGE(O9,Q9) * 100</f>
        <v>0.51635111876075401</v>
      </c>
      <c r="R15" t="s">
        <v>5</v>
      </c>
    </row>
    <row r="18" spans="5:5" x14ac:dyDescent="0.35"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v0.1 11.12.25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Szafrański</dc:creator>
  <cp:lastModifiedBy>Wojtek Szafrański</cp:lastModifiedBy>
  <dcterms:created xsi:type="dcterms:W3CDTF">2025-12-10T09:38:50Z</dcterms:created>
  <dcterms:modified xsi:type="dcterms:W3CDTF">2025-12-10T10:29:36Z</dcterms:modified>
</cp:coreProperties>
</file>